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<sst xmlns="http://schemas.openxmlformats.org/spreadsheetml/2006/main" count="24" uniqueCount="23">
  <si>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定价公式</t>
  </si>
  <si>
    <t>商品编码</t>
  </si>
  <si>
    <t>总成本</t>
  </si>
  <si>
    <t>价格</t>
  </si>
  <si>
    <t>利润</t>
  </si>
  <si>
    <t>活动扣点</t>
  </si>
  <si>
    <t>利润率</t>
  </si>
  <si>
    <t>毛保本投产</t>
  </si>
  <si>
    <t>拼单价</t>
  </si>
  <si>
    <t>产品成本</t>
  </si>
  <si>
    <t>GF-D款GGJ-红奶白-单层</t>
  </si>
  <si>
    <t>GF-D款GGJ-红奶白-两层</t>
  </si>
  <si>
    <t>GF-D款GGJ-红奶白-三层</t>
  </si>
  <si>
    <t>架类：总成本=单品成本+运费+来货运费、合格证（非代发）</t>
  </si>
  <si>
    <t>架类：总成本=单品成本+代发运费【看代发产家运费】+来货运费、合格证（代发）</t>
  </si>
  <si>
    <t>花洒：单品成本+配件成本+运费+来货运费、合格证（运费+来货运费、合格证的和固定为3）</t>
  </si>
  <si>
    <t>价格=总成本/百分比（0.28-0.78）</t>
  </si>
  <si>
    <t>利润=价格-总成本</t>
  </si>
  <si>
    <t>活动扣点=价格*0.07</t>
  </si>
  <si>
    <t>利润（二级利润）=利润-活动扣点</t>
  </si>
  <si>
    <t>利润率=利润（二级利润）/价格</t>
  </si>
  <si>
    <t>毛保本投产=1/利润率</t>
  </si>
  <si>
    <t>拼单价=价格+20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</si>
</sst>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;[Red]0.00"/>
    <numFmt numFmtId="177" formatCode="0.00_ "/>
  </numFmts>
  <fonts count="23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9"/>
      <color rgb="FF000000"/>
      <name val="宋体"/>
      <charset val="134"/>
    </font>
    <font>
      <sz val="9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3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4" borderId="4">
      <alignment vertical="center"/>
    </xf>
    <xf numFmtId="0" fontId="13" fillId="5" borderId="5">
      <alignment vertical="center"/>
    </xf>
    <xf numFmtId="0" fontId="14" fillId="5" borderId="4">
      <alignment vertical="center"/>
    </xf>
    <xf numFmtId="0" fontId="15" fillId="6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</cellStyleXfs>
  <cellXfs count="15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0" borderId="0" xfId="0" applyFont="1">
      <alignment vertical="center"/>
    </xf>
    <xf numFmtId="176" fontId="1" fillId="2" borderId="0" xfId="0" applyNumberFormat="1" applyFont="1" applyFill="1">
      <alignment vertical="center"/>
    </xf>
    <xf numFmtId="176" fontId="1" fillId="0" borderId="0" xfId="0" applyNumberFormat="1" applyFont="1">
      <alignment vertical="center"/>
    </xf>
    <xf numFmtId="10" fontId="1" fillId="2" borderId="0" xfId="0" applyNumberFormat="1" applyFont="1" applyFill="1">
      <alignment vertical="center"/>
    </xf>
    <xf numFmtId="0" fontId="1" fillId="2" borderId="0" xfId="0" applyFont="1" applyFill="1">
      <alignment vertical="center"/>
    </xf>
    <xf numFmtId="0" fontId="2" fillId="0" borderId="0" xfId="0" applyFont="1">
      <alignment vertical="center"/>
    </xf>
    <xf numFmtId="0" fontId="0" fillId="0" borderId="0" xfId="0">
      <alignment vertical="center"/>
    </xf>
    <xf numFmtId="176" fontId="0" fillId="0" borderId="0" xfId="0" applyNumberFormat="1">
      <alignment vertical="center"/>
    </xf>
    <xf numFmtId="10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3" fillId="0" borderId="0" xfId="0" applyFont="1">
      <alignment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3"/>
  <sheetViews>
    <sheetView tabSelected="1" workbookViewId="0">
      <selection activeCell="J6" sqref="J6"/>
    </sheetView>
  </sheetViews>
  <sheetFormatPr defaultColWidth="9" defaultRowHeight="14"/>
  <cols>
    <col min="1" max="1" width="32" customWidth="1"/>
    <col min="2" max="2" width="11.5454545454545" customWidth="1"/>
    <col min="8" max="8" width="12.9090909090909" customWidth="1"/>
    <col min="9" max="9" width="13.4545454545455" customWidth="1"/>
  </cols>
  <sheetData>
    <row r="1" spans="1:10">
      <c r="A1" s="1" t="s">
        <v>0</v>
      </c>
      <c r="B1" s="1"/>
      <c r="C1" s="1"/>
    </row>
    <row r="2" spans="1:10">
      <c r="A2" s="2" t="s">
        <v>1</v>
      </c>
      <c r="B2" s="3" t="s">
        <v>2</v>
      </c>
      <c r="C2" s="4" t="s">
        <v>3</v>
      </c>
      <c r="D2" s="5" t="s">
        <v>4</v>
      </c>
      <c r="E2" s="5" t="s">
        <v>5</v>
      </c>
      <c r="F2" s="5" t="s">
        <v>4</v>
      </c>
      <c r="G2" s="6" t="s">
        <v>6</v>
      </c>
      <c r="H2" s="7" t="s">
        <v>7</v>
      </c>
      <c r="I2" s="8" t="s">
        <v>8</v>
      </c>
      <c r="J2" s="3" t="s">
        <v>9</v>
      </c>
    </row>
    <row r="3" spans="1:10">
      <c r="A3" s="9" t="s">
        <v>10</v>
      </c>
      <c r="B3" s="9">
        <v>11.3</v>
      </c>
      <c r="C3" s="10">
        <f>B3/0.75</f>
        <v>15.0666666666667</v>
      </c>
      <c r="D3" s="10">
        <f>C3-B3</f>
        <v>3.76666666666667</v>
      </c>
      <c r="E3" s="10">
        <f>C3*0.07</f>
        <v>1.05466666666667</v>
      </c>
      <c r="F3" s="10">
        <f>D3-E3</f>
        <v>2.712</v>
      </c>
      <c r="G3" s="11">
        <f>F3/C3</f>
        <v>0.18</v>
      </c>
      <c r="H3" s="12">
        <f>1/G3</f>
        <v>5.55555555555555</v>
      </c>
      <c r="I3" s="13">
        <f>C3+20</f>
        <v>35.0666666666667</v>
      </c>
    </row>
    <row r="4" spans="1:10">
      <c r="A4" s="9" t="s">
        <v>11</v>
      </c>
      <c r="B4" s="9">
        <v>12.8</v>
      </c>
      <c r="C4" s="10">
        <f>B4/0.75</f>
        <v>17.0666666666667</v>
      </c>
      <c r="D4" s="10">
        <f>C4-B4</f>
        <v>4.26666666666667</v>
      </c>
      <c r="E4" s="10">
        <f>C4*0.07</f>
        <v>1.19466666666667</v>
      </c>
      <c r="F4" s="10">
        <f>D4-E4</f>
        <v>3.072</v>
      </c>
      <c r="G4" s="11">
        <f>F4/C4</f>
        <v>0.18</v>
      </c>
      <c r="H4" s="12">
        <f>1/G4</f>
        <v>5.55555555555556</v>
      </c>
      <c r="I4" s="13">
        <f>C4+20</f>
        <v>37.0666666666667</v>
      </c>
    </row>
    <row r="5" spans="1:10">
      <c r="A5" s="9" t="s">
        <v>12</v>
      </c>
      <c r="B5" s="9">
        <v>14.8</v>
      </c>
      <c r="C5" s="10">
        <f>B5/0.75</f>
        <v>19.7333333333333</v>
      </c>
      <c r="D5" s="10">
        <f>C5-B5</f>
        <v>4.93333333333333</v>
      </c>
      <c r="E5" s="10">
        <f>C5*0.07</f>
        <v>1.38133333333333</v>
      </c>
      <c r="F5" s="10">
        <f>D5-E5</f>
        <v>3.552</v>
      </c>
      <c r="G5" s="11">
        <f>F5/C5</f>
        <v>0.18</v>
      </c>
      <c r="H5" s="12">
        <f>1/G5</f>
        <v>5.55555555555556</v>
      </c>
      <c r="I5" s="13">
        <f>C5+20</f>
        <v>39.7333333333333</v>
      </c>
    </row>
    <row r="7" spans="1:10">
      <c r="A7" s="14" t="s">
        <v>13</v>
      </c>
      <c r="B7" s="14"/>
      <c r="C7" s="14"/>
      <c r="D7" s="14"/>
      <c r="E7" s="14"/>
      <c r="F7" s="14"/>
      <c r="G7" s="14"/>
      <c r="H7" s="14"/>
      <c r="I7" s="14"/>
      <c r="J7" s="14"/>
    </row>
    <row r="8" spans="1:10">
      <c r="A8" s="14" t="s">
        <v>14</v>
      </c>
      <c r="B8" s="14"/>
      <c r="C8" s="14"/>
      <c r="D8" s="14"/>
      <c r="E8" s="14"/>
      <c r="F8" s="14"/>
      <c r="G8" s="14"/>
      <c r="H8" s="14"/>
      <c r="I8" s="14"/>
      <c r="J8" s="14"/>
    </row>
    <row r="9" spans="1:10">
      <c r="A9" s="14" t="s">
        <v>15</v>
      </c>
      <c r="B9" s="14"/>
      <c r="C9" s="14"/>
      <c r="D9" s="14"/>
      <c r="E9" s="14"/>
      <c r="F9" s="14"/>
      <c r="G9" s="14"/>
      <c r="H9" s="14"/>
      <c r="I9" s="14"/>
      <c r="J9" s="14"/>
    </row>
    <row r="10" spans="1:10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>
      <c r="A11" s="1" t="s">
        <v>16</v>
      </c>
      <c r="B11" s="1"/>
      <c r="C11" s="1"/>
      <c r="D11" s="1"/>
      <c r="E11" s="1"/>
      <c r="F11" s="1"/>
      <c r="G11" s="1"/>
      <c r="H11" s="1"/>
      <c r="I11" s="1"/>
      <c r="J11" s="1"/>
    </row>
    <row r="12" spans="1:10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>
      <c r="A13" s="1" t="s">
        <v>17</v>
      </c>
      <c r="B13" s="1"/>
      <c r="C13" s="1"/>
      <c r="D13" s="1"/>
      <c r="E13" s="1"/>
      <c r="F13" s="1"/>
      <c r="G13" s="1"/>
      <c r="H13" s="1"/>
      <c r="I13" s="1"/>
      <c r="J13" s="1"/>
    </row>
    <row r="14" spans="1:10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>
      <c r="A15" s="1" t="s">
        <v>18</v>
      </c>
      <c r="B15" s="1"/>
      <c r="C15" s="1"/>
      <c r="D15" s="1"/>
      <c r="E15" s="1"/>
      <c r="F15" s="1"/>
      <c r="G15" s="1"/>
      <c r="H15" s="1"/>
      <c r="I15" s="1"/>
      <c r="J15" s="1"/>
    </row>
    <row r="16" spans="1:10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 t="s">
        <v>19</v>
      </c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 t="s">
        <v>20</v>
      </c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 t="s">
        <v>21</v>
      </c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 t="s">
        <v>22</v>
      </c>
      <c r="B23" s="1"/>
      <c r="C23" s="1"/>
      <c r="D23" s="1"/>
      <c r="E23" s="1"/>
      <c r="F23" s="1"/>
      <c r="G23" s="1"/>
      <c r="H23" s="1"/>
      <c r="I23" s="1"/>
      <c r="J23" s="1"/>
    </row>
  </sheetData>
  <mergeCells count="18">
    <mergeCell ref="A1:C1"/>
    <mergeCell ref="A7:J7"/>
    <mergeCell ref="A8:J8"/>
    <mergeCell ref="A9:J9"/>
    <mergeCell ref="A10:J10"/>
    <mergeCell ref="A11:J11"/>
    <mergeCell ref="A12:J12"/>
    <mergeCell ref="A13:J13"/>
    <mergeCell ref="A14:J14"/>
    <mergeCell ref="A15:J15"/>
    <mergeCell ref="A16:J16"/>
    <mergeCell ref="A17:J17"/>
    <mergeCell ref="A18:J18"/>
    <mergeCell ref="A19:J19"/>
    <mergeCell ref="A20:J20"/>
    <mergeCell ref="A21:J21"/>
    <mergeCell ref="A22:J22"/>
    <mergeCell ref="A23:J2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陈乐彬</dc:creator>
  <cp:lastModifiedBy>水清墨韵</cp:lastModifiedBy>
  <dcterms:created xsi:type="dcterms:W3CDTF">2023-05-12T11:15:00Z</dcterms:created>
  <dcterms:modified xsi:type="dcterms:W3CDTF">2026-06-05T10:48:47Z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B2DE8E74A63C44E9B559D24B88F53B58_12</vt:lpwstr>
  </property>
  <property fmtid="{D5CDD505-2E9C-101B-9397-08002B2CF9AE}" pid="4" name="CalculationRule">
    <vt:i4>0</vt:i4>
  </property>
</Properties>
</file>