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<sst xmlns="http://schemas.openxmlformats.org/spreadsheetml/2006/main" count="13" uniqueCount="12">
  <si>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商品编码</t>
  </si>
  <si>
    <t>总成本</t>
  </si>
  <si>
    <t>价格</t>
  </si>
  <si>
    <t>利润</t>
  </si>
  <si>
    <t>活动扣点</t>
  </si>
  <si>
    <t>利润率</t>
  </si>
  <si>
    <t>毛保本投产</t>
  </si>
  <si>
    <t>拼单价</t>
  </si>
  <si>
    <t>产品成本</t>
  </si>
  <si>
    <t>GF-D款GGJ-红奶白-单层</t>
  </si>
  <si>
    <t>GF-D款GGJ-红奶白-两层</t>
  </si>
  <si>
    <t>GF-D款GGJ-红奶白-三层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</si>
</sst>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176" fontId="1" fillId="2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10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L10" sqref="L10"/>
    </sheetView>
  </sheetViews>
  <sheetFormatPr defaultColWidth="9" defaultRowHeight="14" outlineLevelRow="3"/>
  <cols>
    <col min="1" max="1" width="28" customWidth="1"/>
    <col min="8" max="8" width="15.6363636363636" customWidth="1"/>
    <col min="9" max="9" width="13.0909090909091" customWidth="1"/>
  </cols>
  <sheetData>
    <row r="1" spans="1:1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3</v>
      </c>
      <c r="G1" s="5" t="s">
        <v>5</v>
      </c>
      <c r="H1" s="6" t="s">
        <v>6</v>
      </c>
      <c r="I1" s="7" t="s">
        <v>7</v>
      </c>
      <c r="J1" s="2" t="s">
        <v>8</v>
      </c>
    </row>
    <row r="2" spans="1:10">
      <c r="A2" s="8" t="s">
        <v>9</v>
      </c>
      <c r="B2" s="8">
        <v>11.3</v>
      </c>
      <c r="C2" s="9">
        <f>B2/0.75</f>
        <v>15.0666666666667</v>
      </c>
      <c r="D2" s="9">
        <f>C2-B2</f>
        <v>3.76666666666667</v>
      </c>
      <c r="E2" s="9">
        <f>C2*0.07</f>
        <v>1.05466666666667</v>
      </c>
      <c r="F2" s="9">
        <f>D2-E2</f>
        <v>2.712</v>
      </c>
      <c r="G2" s="10">
        <f>F2/C2</f>
        <v>0.18</v>
      </c>
      <c r="H2" s="11">
        <f>1/G2</f>
        <v>5.55555555555555</v>
      </c>
      <c r="I2" s="12">
        <f>C2+20</f>
        <v>35.0666666666667</v>
      </c>
    </row>
    <row r="3" spans="1:10">
      <c r="A3" s="8" t="s">
        <v>10</v>
      </c>
      <c r="B3" s="8">
        <v>12.8</v>
      </c>
      <c r="C3" s="9">
        <f>B3/0.75</f>
        <v>17.0666666666667</v>
      </c>
      <c r="D3" s="9">
        <f>C3-B3</f>
        <v>4.26666666666667</v>
      </c>
      <c r="E3" s="9">
        <f>C3*0.07</f>
        <v>1.19466666666667</v>
      </c>
      <c r="F3" s="9">
        <f>D3-E3</f>
        <v>3.072</v>
      </c>
      <c r="G3" s="10">
        <f>F3/C3</f>
        <v>0.18</v>
      </c>
      <c r="H3" s="11">
        <f>1/G3</f>
        <v>5.55555555555556</v>
      </c>
      <c r="I3" s="12">
        <f>C3+20</f>
        <v>37.0666666666667</v>
      </c>
    </row>
    <row r="4" spans="1:10">
      <c r="A4" s="8" t="s">
        <v>11</v>
      </c>
      <c r="B4" s="8">
        <v>14.8</v>
      </c>
      <c r="C4" s="9">
        <f>B4/0.75</f>
        <v>19.7333333333333</v>
      </c>
      <c r="D4" s="9">
        <f>C4-B4</f>
        <v>4.93333333333333</v>
      </c>
      <c r="E4" s="9">
        <f>C4*0.07</f>
        <v>1.38133333333333</v>
      </c>
      <c r="F4" s="9">
        <f>D4-E4</f>
        <v>3.552</v>
      </c>
      <c r="G4" s="10">
        <f>F4/C4</f>
        <v>0.18</v>
      </c>
      <c r="H4" s="11">
        <f>1/G4</f>
        <v>5.55555555555556</v>
      </c>
      <c r="I4" s="12">
        <f>C4+20</f>
        <v>39.7333333333333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水清墨韵</cp:lastModifiedBy>
  <dcterms:created xsi:type="dcterms:W3CDTF">2023-05-12T11:15:00Z</dcterms:created>
  <dcterms:modified xsi:type="dcterms:W3CDTF">2026-06-05T12:05:14Z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A663ECFBF81F46BAB0FB8DEC65A317E1_12</vt:lpwstr>
  </property>
  <property fmtid="{D5CDD505-2E9C-101B-9397-08002B2CF9AE}" pid="4" name="CalculationRule">
    <vt:i4>0</vt:i4>
  </property>
</Properties>
</file>